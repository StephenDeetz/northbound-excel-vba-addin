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epd\OneDrive\Desktop\"/>
    </mc:Choice>
  </mc:AlternateContent>
  <xr:revisionPtr revIDLastSave="0" documentId="13_ncr:1_{16C23B9B-0336-445C-948B-81EDFCD9D2D2}" xr6:coauthVersionLast="47" xr6:coauthVersionMax="47" xr10:uidLastSave="{00000000-0000-0000-0000-000000000000}"/>
  <bookViews>
    <workbookView xWindow="-120" yWindow="-120" windowWidth="29010" windowHeight="13320" tabRatio="701" activeTab="6" xr2:uid="{00000000-000D-0000-FFFF-FFFF00000000}"/>
  </bookViews>
  <sheets>
    <sheet name="Data_Sheet" sheetId="1" r:id="rId1"/>
    <sheet name="Pretty Print" sheetId="10" r:id="rId2"/>
    <sheet name="Single vs. Multiple Lines" sheetId="3" r:id="rId3"/>
    <sheet name="Nesting" sheetId="4" r:id="rId4"/>
    <sheet name="Parameter Matching" sheetId="5" r:id="rId5"/>
    <sheet name="Nested Parameter Matching" sheetId="6" r:id="rId6"/>
    <sheet name="Safe Formul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C9" i="7"/>
  <c r="D8" i="7" a="1"/>
  <c r="C8" i="7"/>
  <c r="D7" i="7"/>
  <c r="C7" i="7"/>
  <c r="D6" i="7"/>
  <c r="C6" i="7"/>
  <c r="D5" i="7"/>
  <c r="C5" i="7"/>
  <c r="D4" i="7"/>
  <c r="C4" i="7"/>
  <c r="D3" i="7"/>
  <c r="C3" i="7"/>
  <c r="D3" i="6" a="1"/>
  <c r="C3" i="6"/>
  <c r="D5" i="5"/>
  <c r="C5" i="5"/>
  <c r="D4" i="5" a="1"/>
  <c r="C4" i="5"/>
  <c r="D3" i="5" a="1"/>
  <c r="C3" i="5"/>
  <c r="D4" i="4"/>
  <c r="C4" i="4"/>
  <c r="D3" i="4"/>
  <c r="C3" i="4"/>
  <c r="D6" i="3"/>
  <c r="C6" i="3"/>
  <c r="D5" i="3"/>
  <c r="C5" i="3"/>
  <c r="D4" i="3"/>
  <c r="C4" i="3"/>
  <c r="D3" i="3"/>
  <c r="C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<sst xmlns="http://schemas.openxmlformats.org/spreadsheetml/2006/main" count="80" uniqueCount="48">
  <si>
    <t>Id</t>
  </si>
  <si>
    <t>Status</t>
  </si>
  <si>
    <t>Amount</t>
  </si>
  <si>
    <t>Category</t>
  </si>
  <si>
    <t>Active</t>
  </si>
  <si>
    <t>Score</t>
  </si>
  <si>
    <t>A</t>
  </si>
  <si>
    <t>Inactive</t>
  </si>
  <si>
    <t>B</t>
  </si>
  <si>
    <t>Pending</t>
  </si>
  <si>
    <t>C</t>
  </si>
  <si>
    <t>Label</t>
  </si>
  <si>
    <t>SWITCH</t>
  </si>
  <si>
    <t>LET simple</t>
  </si>
  <si>
    <t>SUMPRODUCT</t>
  </si>
  <si>
    <t>SUMIFS</t>
  </si>
  <si>
    <t>CHOOSE</t>
  </si>
  <si>
    <t>TEXTJOIN</t>
  </si>
  <si>
    <t>Nested IF + AND/OR</t>
  </si>
  <si>
    <t>IFS multi-branch</t>
  </si>
  <si>
    <t>Nested LET+IFS+SWITCH</t>
  </si>
  <si>
    <t>Live Formula</t>
  </si>
  <si>
    <t>Scientific notation</t>
  </si>
  <si>
    <t>Percentage literal</t>
  </si>
  <si>
    <t>Error literal</t>
  </si>
  <si>
    <t>Spill operator (#)</t>
  </si>
  <si>
    <t>Formula Text - Minified vs. Pretty Printed</t>
  </si>
  <si>
    <t>Simple IF</t>
  </si>
  <si>
    <t>Nested IF</t>
  </si>
  <si>
    <r>
      <rPr>
        <b/>
        <sz val="11"/>
        <color theme="1"/>
        <rFont val="Calibri"/>
        <family val="2"/>
        <scheme val="minor"/>
      </rPr>
      <t>Parameter Matching</t>
    </r>
    <r>
      <rPr>
        <sz val="11"/>
        <color theme="1"/>
        <rFont val="Calibri"/>
        <family val="2"/>
        <scheme val="minor"/>
      </rPr>
      <t xml:space="preserve">
Five condition/value pairs, each pair on its own line.</t>
    </r>
  </si>
  <si>
    <r>
      <rPr>
        <b/>
        <sz val="11"/>
        <color theme="1"/>
        <rFont val="Calibri"/>
        <family val="2"/>
        <scheme val="minor"/>
      </rPr>
      <t>Single Line</t>
    </r>
    <r>
      <rPr>
        <sz val="11"/>
        <color theme="1"/>
        <rFont val="Calibri"/>
        <family val="2"/>
        <scheme val="minor"/>
      </rPr>
      <t xml:space="preserve">
Short enough (&lt;50 characters), so only spaces added.</t>
    </r>
  </si>
  <si>
    <r>
      <rPr>
        <b/>
        <sz val="11"/>
        <color theme="1"/>
        <rFont val="Calibri"/>
        <family val="2"/>
        <scheme val="minor"/>
      </rPr>
      <t xml:space="preserve">Safe
</t>
    </r>
    <r>
      <rPr>
        <sz val="11"/>
        <color theme="1"/>
        <rFont val="Calibri"/>
        <family val="2"/>
        <scheme val="minor"/>
      </rPr>
      <t>Scientific notation 1E+21 left untouched, no space inserted around the + sign.</t>
    </r>
  </si>
  <si>
    <r>
      <rPr>
        <b/>
        <sz val="11"/>
        <color theme="1"/>
        <rFont val="Calibri"/>
        <family val="2"/>
        <scheme val="minor"/>
      </rPr>
      <t xml:space="preserve">Safe
</t>
    </r>
    <r>
      <rPr>
        <sz val="11"/>
        <color theme="1"/>
        <rFont val="Calibri"/>
        <family val="2"/>
        <scheme val="minor"/>
      </rPr>
      <t>Spill operator # stays attached to its anchor reference, no space inserted before it.</t>
    </r>
  </si>
  <si>
    <r>
      <rPr>
        <b/>
        <sz val="11"/>
        <color theme="1"/>
        <rFont val="Calibri"/>
        <family val="2"/>
        <scheme val="minor"/>
      </rPr>
      <t xml:space="preserve">Safe
</t>
    </r>
    <r>
      <rPr>
        <sz val="11"/>
        <color theme="1"/>
        <rFont val="Calibri"/>
        <family val="2"/>
        <scheme val="minor"/>
      </rPr>
      <t>Error literal #N/A preserved as a literal, not treated as a reference.</t>
    </r>
  </si>
  <si>
    <r>
      <rPr>
        <b/>
        <sz val="11"/>
        <color theme="1"/>
        <rFont val="Calibri"/>
        <family val="2"/>
        <scheme val="minor"/>
      </rPr>
      <t xml:space="preserve">Safe
</t>
    </r>
    <r>
      <rPr>
        <sz val="11"/>
        <color theme="1"/>
        <rFont val="Calibri"/>
        <family val="2"/>
        <scheme val="minor"/>
      </rPr>
      <t>Percentage literal 50% kept as-is, operator spacing applied around it.</t>
    </r>
  </si>
  <si>
    <r>
      <rPr>
        <b/>
        <sz val="11"/>
        <color theme="1"/>
        <rFont val="Calibri"/>
        <family val="2"/>
        <scheme val="minor"/>
      </rPr>
      <t>Safe</t>
    </r>
    <r>
      <rPr>
        <sz val="11"/>
        <color theme="1"/>
        <rFont val="Calibri"/>
        <family val="2"/>
        <scheme val="minor"/>
      </rPr>
      <t xml:space="preserve">
Array constant {"A","B","C"} kept the way Excel likes with no spaces after each comma.</t>
    </r>
  </si>
  <si>
    <r>
      <rPr>
        <b/>
        <sz val="11"/>
        <color theme="1"/>
        <rFont val="Calibri"/>
        <family val="2"/>
        <scheme val="minor"/>
      </rPr>
      <t xml:space="preserve">Safe
</t>
    </r>
    <r>
      <rPr>
        <sz val="11"/>
        <color theme="1"/>
        <rFont val="Calibri"/>
        <family val="2"/>
        <scheme val="minor"/>
      </rPr>
      <t>Comma delimiter skipped in quotes.
All text is quotes skipped.</t>
    </r>
  </si>
  <si>
    <r>
      <rPr>
        <b/>
        <sz val="11"/>
        <color theme="1"/>
        <rFont val="Calibri"/>
        <family val="2"/>
        <scheme val="minor"/>
      </rPr>
      <t>Parameter Matching</t>
    </r>
    <r>
      <rPr>
        <sz val="11"/>
        <color theme="1"/>
        <rFont val="Calibri"/>
        <family val="2"/>
        <scheme val="minor"/>
      </rPr>
      <t xml:space="preserve">
Each LET name/value pair on its own line, final calculation on the last line.</t>
    </r>
  </si>
  <si>
    <t>Notes/Explanation</t>
  </si>
  <si>
    <r>
      <rPr>
        <b/>
        <sz val="11"/>
        <color theme="1"/>
        <rFont val="Calibri"/>
        <family val="2"/>
        <scheme val="minor"/>
      </rPr>
      <t>Parameter Matching</t>
    </r>
    <r>
      <rPr>
        <sz val="11"/>
        <color theme="1"/>
        <rFont val="Calibri"/>
        <family val="2"/>
        <scheme val="minor"/>
      </rPr>
      <t xml:space="preserve">
Each match/result pair, then the default, each on its own line.</t>
    </r>
  </si>
  <si>
    <r>
      <rPr>
        <b/>
        <sz val="11"/>
        <color theme="1"/>
        <rFont val="Calibri"/>
        <family val="2"/>
        <scheme val="minor"/>
      </rPr>
      <t>Multiple Lines</t>
    </r>
    <r>
      <rPr>
        <sz val="11"/>
        <color theme="1"/>
        <rFont val="Calibri"/>
        <family val="2"/>
        <scheme val="minor"/>
      </rPr>
      <t xml:space="preserve">
More than 4 parameters so multiple lines.</t>
    </r>
  </si>
  <si>
    <r>
      <rPr>
        <b/>
        <sz val="11"/>
        <color theme="1"/>
        <rFont val="Calibri"/>
        <family val="2"/>
        <scheme val="minor"/>
      </rPr>
      <t>Multiple Lines</t>
    </r>
    <r>
      <rPr>
        <sz val="11"/>
        <color theme="1"/>
        <rFont val="Calibri"/>
        <family val="2"/>
        <scheme val="minor"/>
      </rPr>
      <t xml:space="preserve">
More than 4 parameters and &gt; 50 characters.</t>
    </r>
  </si>
  <si>
    <r>
      <rPr>
        <b/>
        <sz val="11"/>
        <color theme="1"/>
        <rFont val="Calibri"/>
        <family val="2"/>
        <scheme val="minor"/>
      </rPr>
      <t>Multiple Lines</t>
    </r>
    <r>
      <rPr>
        <sz val="11"/>
        <color theme="1"/>
        <rFont val="Calibri"/>
        <family val="2"/>
        <scheme val="minor"/>
      </rPr>
      <t xml:space="preserve">
Nest IF is short enough for a single line (&lt;50 characters)</t>
    </r>
  </si>
  <si>
    <r>
      <rPr>
        <b/>
        <sz val="11"/>
        <color theme="1"/>
        <rFont val="Calibri"/>
        <family val="2"/>
        <scheme val="minor"/>
      </rPr>
      <t>Nesting</t>
    </r>
    <r>
      <rPr>
        <sz val="11"/>
        <color theme="1"/>
        <rFont val="Calibri"/>
        <family val="2"/>
        <scheme val="minor"/>
      </rPr>
      <t xml:space="preserve">
Each IF level split and indented one step further.
Innermost IF is short enough for a single line.</t>
    </r>
  </si>
  <si>
    <r>
      <rPr>
        <b/>
        <sz val="11"/>
        <color theme="1"/>
        <rFont val="Calibri"/>
        <family val="2"/>
        <scheme val="minor"/>
      </rPr>
      <t>Nesting</t>
    </r>
    <r>
      <rPr>
        <sz val="11"/>
        <color theme="1"/>
        <rFont val="Calibri"/>
        <family val="2"/>
        <scheme val="minor"/>
      </rPr>
      <t xml:space="preserve">
Outer IF split.
AND(...)  and OR(…) short enough to stay on one line. 
Nested IF is too long, so it is split and indented one more level.</t>
    </r>
  </si>
  <si>
    <t>Nested IFs</t>
  </si>
  <si>
    <r>
      <rPr>
        <b/>
        <sz val="11"/>
        <color theme="1"/>
        <rFont val="Calibri"/>
        <family val="2"/>
        <scheme val="minor"/>
      </rPr>
      <t>Safe</t>
    </r>
    <r>
      <rPr>
        <sz val="11"/>
        <color theme="1"/>
        <rFont val="Calibri"/>
        <family val="2"/>
        <scheme val="minor"/>
      </rPr>
      <t xml:space="preserve"> 
The --() text to number coercions are correctly handled.</t>
    </r>
  </si>
  <si>
    <r>
      <rPr>
        <b/>
        <sz val="11"/>
        <color theme="1"/>
        <rFont val="Calibri"/>
        <family val="2"/>
        <scheme val="minor"/>
      </rPr>
      <t>Nested Parameter Matching</t>
    </r>
    <r>
      <rPr>
        <sz val="11"/>
        <color theme="1"/>
        <rFont val="Calibri"/>
        <family val="2"/>
        <scheme val="minor"/>
      </rPr>
      <t xml:space="preserve">
LET pairs parameters and values. 
IFS and SWITCH indented one level deeper and match parameters and values.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</si>
</sst>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0" borderId="4" xfId="0" applyFont="1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0" fillId="0" borderId="0" xfId="0" quotePrefix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1" fillId="0" borderId="4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1" fillId="0" borderId="2" xfId="0" applyNumberFormat="1" applyFont="1" applyBorder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1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94A47"/>
      <color rgb="FF931D20"/>
      <color rgb="FFDA4246"/>
      <color rgb="FF4D5965"/>
      <color rgb="FFE3E6E8"/>
      <color rgb="FFDE5759"/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0</xdr:rowOff>
    </xdr:from>
    <xdr:to>
      <xdr:col>27</xdr:col>
      <xdr:colOff>495300</xdr:colOff>
      <xdr:row>35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EED0112-881F-DB37-C9CF-40F3DD1481E6}"/>
            </a:ext>
          </a:extLst>
        </xdr:cNvPr>
        <xdr:cNvSpPr/>
      </xdr:nvSpPr>
      <xdr:spPr>
        <a:xfrm>
          <a:off x="1533525" y="190500"/>
          <a:ext cx="15420975" cy="6524625"/>
        </a:xfrm>
        <a:prstGeom prst="roundRect">
          <a:avLst/>
        </a:prstGeom>
        <a:solidFill>
          <a:srgbClr val="E3E6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600">
            <a:solidFill>
              <a:srgbClr val="DE5759"/>
            </a:solidFill>
          </a:endParaRPr>
        </a:p>
        <a:p>
          <a:pPr algn="ctr"/>
          <a:endParaRPr lang="en-US" sz="1600">
            <a:solidFill>
              <a:srgbClr val="DE5759"/>
            </a:solidFill>
          </a:endParaRPr>
        </a:p>
        <a:p>
          <a:pPr algn="ctr"/>
          <a:endParaRPr lang="en-US" sz="1600">
            <a:solidFill>
              <a:srgbClr val="DE5759"/>
            </a:solidFill>
          </a:endParaRPr>
        </a:p>
        <a:p>
          <a:pPr algn="ctr"/>
          <a:endParaRPr lang="en-US" sz="1600">
            <a:solidFill>
              <a:srgbClr val="DE5759"/>
            </a:solidFill>
          </a:endParaRPr>
        </a:p>
        <a:p>
          <a:pPr algn="ctr"/>
          <a:r>
            <a:rPr lang="en-US" sz="9600">
              <a:solidFill>
                <a:srgbClr val="B94A47"/>
              </a:solidFill>
            </a:rPr>
            <a:t>Pretty Print</a:t>
          </a:r>
        </a:p>
        <a:p>
          <a:pPr algn="l"/>
          <a:endParaRPr lang="en-US" sz="1100">
            <a:solidFill>
              <a:srgbClr val="B94A47"/>
            </a:solidFill>
          </a:endParaRPr>
        </a:p>
        <a:p>
          <a:pPr algn="ctr"/>
          <a:r>
            <a:rPr lang="en-US" sz="3600">
              <a:solidFill>
                <a:srgbClr val="B94A47"/>
              </a:solidFill>
            </a:rPr>
            <a:t>for</a:t>
          </a:r>
          <a:r>
            <a:rPr lang="en-US" sz="3600" baseline="0">
              <a:solidFill>
                <a:srgbClr val="B94A47"/>
              </a:solidFill>
            </a:rPr>
            <a:t> Excel Formulas</a:t>
          </a:r>
        </a:p>
        <a:p>
          <a:pPr algn="ctr"/>
          <a:endParaRPr lang="en-US" sz="3600" baseline="0">
            <a:solidFill>
              <a:srgbClr val="DA4246"/>
            </a:solidFill>
          </a:endParaRPr>
        </a:p>
      </xdr:txBody>
    </xdr:sp>
    <xdr:clientData/>
  </xdr:twoCellAnchor>
  <xdr:twoCellAnchor editAs="oneCell">
    <xdr:from>
      <xdr:col>12</xdr:col>
      <xdr:colOff>561975</xdr:colOff>
      <xdr:row>21</xdr:row>
      <xdr:rowOff>9525</xdr:rowOff>
    </xdr:from>
    <xdr:to>
      <xdr:col>17</xdr:col>
      <xdr:colOff>85725</xdr:colOff>
      <xdr:row>24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707E2-0E48-49E3-9837-5984785B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4010025"/>
          <a:ext cx="257175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B2:G12" totalsRowShown="0">
  <autoFilter ref="B2:G12" xr:uid="{00000000-0009-0000-0100-000001000000}"/>
  <tableColumns count="6">
    <tableColumn id="1" xr3:uid="{00000000-0010-0000-0000-000001000000}" name="Id"/>
    <tableColumn id="2" xr3:uid="{00000000-0010-0000-0000-000002000000}" name="Status"/>
    <tableColumn id="3" xr3:uid="{00000000-0010-0000-0000-000003000000}" name="Amount"/>
    <tableColumn id="4" xr3:uid="{00000000-0010-0000-0000-000004000000}" name="Category"/>
    <tableColumn id="5" xr3:uid="{00000000-0010-0000-0000-000005000000}" name="Active"/>
    <tableColumn id="6" xr3:uid="{00000000-0010-0000-0000-000006000000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F9B669-04DE-4B22-9A55-B92825A98F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0b89e39-236b-4131-aa35-0aaaeaa32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1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2" max="7" width="14.7109375" style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1">
        <v>1</v>
      </c>
      <c r="C3" s="1" t="s">
        <v>4</v>
      </c>
      <c r="D3" s="1">
        <v>150</v>
      </c>
      <c r="E3" s="1" t="s">
        <v>6</v>
      </c>
      <c r="F3" s="1" t="b">
        <v>1</v>
      </c>
      <c r="G3" s="1">
        <v>85</v>
      </c>
    </row>
    <row r="4" spans="2:7" x14ac:dyDescent="0.25">
      <c r="B4" s="1">
        <v>2</v>
      </c>
      <c r="C4" s="1" t="s">
        <v>7</v>
      </c>
      <c r="D4" s="1">
        <v>50</v>
      </c>
      <c r="E4" s="1" t="s">
        <v>8</v>
      </c>
      <c r="F4" s="1" t="b">
        <v>0</v>
      </c>
      <c r="G4" s="1">
        <v>40</v>
      </c>
    </row>
    <row r="5" spans="2:7" x14ac:dyDescent="0.25">
      <c r="B5" s="1">
        <v>3</v>
      </c>
      <c r="C5" s="1" t="s">
        <v>4</v>
      </c>
      <c r="D5" s="1">
        <v>220</v>
      </c>
      <c r="E5" s="1" t="s">
        <v>6</v>
      </c>
      <c r="F5" s="1" t="b">
        <v>1</v>
      </c>
      <c r="G5" s="1">
        <v>92</v>
      </c>
    </row>
    <row r="6" spans="2:7" x14ac:dyDescent="0.25">
      <c r="B6" s="1">
        <v>4</v>
      </c>
      <c r="C6" s="1" t="s">
        <v>9</v>
      </c>
      <c r="D6" s="1">
        <v>80</v>
      </c>
      <c r="E6" s="1" t="s">
        <v>10</v>
      </c>
      <c r="F6" s="1" t="b">
        <v>1</v>
      </c>
      <c r="G6" s="1">
        <v>60</v>
      </c>
    </row>
    <row r="7" spans="2:7" x14ac:dyDescent="0.25">
      <c r="B7" s="1">
        <v>5</v>
      </c>
      <c r="C7" s="1" t="s">
        <v>4</v>
      </c>
      <c r="D7" s="1">
        <v>300</v>
      </c>
      <c r="E7" s="1" t="s">
        <v>8</v>
      </c>
      <c r="F7" s="1" t="b">
        <v>1</v>
      </c>
      <c r="G7" s="1">
        <v>75</v>
      </c>
    </row>
    <row r="8" spans="2:7" x14ac:dyDescent="0.25">
      <c r="B8" s="1">
        <v>6</v>
      </c>
      <c r="C8" s="1" t="s">
        <v>7</v>
      </c>
      <c r="D8" s="1">
        <v>120</v>
      </c>
      <c r="E8" s="1" t="s">
        <v>6</v>
      </c>
      <c r="F8" s="1" t="b">
        <v>0</v>
      </c>
      <c r="G8" s="1">
        <v>30</v>
      </c>
    </row>
    <row r="9" spans="2:7" x14ac:dyDescent="0.25">
      <c r="B9" s="1">
        <v>7</v>
      </c>
      <c r="C9" s="1" t="s">
        <v>4</v>
      </c>
      <c r="D9" s="1">
        <v>95</v>
      </c>
      <c r="E9" s="1" t="s">
        <v>10</v>
      </c>
      <c r="F9" s="1" t="b">
        <v>1</v>
      </c>
      <c r="G9" s="1">
        <v>55</v>
      </c>
    </row>
    <row r="10" spans="2:7" x14ac:dyDescent="0.25">
      <c r="B10" s="1">
        <v>8</v>
      </c>
      <c r="C10" s="1" t="s">
        <v>9</v>
      </c>
      <c r="D10" s="1">
        <v>180</v>
      </c>
      <c r="E10" s="1" t="s">
        <v>8</v>
      </c>
      <c r="F10" s="1" t="b">
        <v>1</v>
      </c>
      <c r="G10" s="1">
        <v>70</v>
      </c>
    </row>
    <row r="11" spans="2:7" x14ac:dyDescent="0.25">
      <c r="B11" s="1">
        <v>9</v>
      </c>
      <c r="C11" s="1" t="s">
        <v>4</v>
      </c>
      <c r="D11" s="1">
        <v>240</v>
      </c>
      <c r="E11" s="1" t="s">
        <v>6</v>
      </c>
      <c r="F11" s="1" t="b">
        <v>1</v>
      </c>
      <c r="G11" s="1">
        <v>88</v>
      </c>
    </row>
    <row r="12" spans="2:7" x14ac:dyDescent="0.25">
      <c r="B12" s="1">
        <v>10</v>
      </c>
      <c r="C12" s="1" t="s">
        <v>7</v>
      </c>
      <c r="D12" s="1">
        <v>60</v>
      </c>
      <c r="E12" s="1" t="s">
        <v>10</v>
      </c>
      <c r="F12" s="1" t="b">
        <v>0</v>
      </c>
      <c r="G12" s="1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1704-7982-40A0-B09D-4706BAA020EA}">
  <sheetPr codeName="Sheet10"/>
  <dimension ref="A1"/>
  <sheetViews>
    <sheetView showGridLines="0" showRowColHeaders="0" topLeftCell="B1" zoomScaleNormal="100" workbookViewId="0">
      <selection activeCell="B47" sqref="B4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C1C5-903F-45F9-BB6C-FF3A803936EE}">
  <sheetPr codeName="Sheet3"/>
  <dimension ref="B2:E6"/>
  <sheetViews>
    <sheetView showGridLines="0" workbookViewId="0"/>
  </sheetViews>
  <sheetFormatPr defaultRowHeight="15" x14ac:dyDescent="0.25"/>
  <cols>
    <col min="2" max="2" width="27.42578125" bestFit="1" customWidth="1"/>
    <col min="3" max="3" width="90.140625" customWidth="1"/>
    <col min="4" max="4" width="17.28515625" customWidth="1"/>
    <col min="5" max="5" width="84.85546875" customWidth="1"/>
  </cols>
  <sheetData>
    <row r="2" spans="2:5" ht="15.75" thickBot="1" x14ac:dyDescent="0.3">
      <c r="B2" s="7" t="s">
        <v>11</v>
      </c>
      <c r="C2" s="7" t="s">
        <v>26</v>
      </c>
      <c r="D2" s="7" t="s">
        <v>21</v>
      </c>
      <c r="E2" s="7" t="s">
        <v>38</v>
      </c>
    </row>
    <row r="3" spans="2:5" ht="71.25" customHeight="1" thickTop="1" x14ac:dyDescent="0.25">
      <c r="B3" s="5" t="s">
        <v>28</v>
      </c>
      <c r="C3" s="13" t="str">
        <f ca="1">_xlfn.FORMULATEXT(D3)</f>
        <v>=IF(Data_Sheet!$D$3&gt;200,"Big",IF(Data_Sheet!$D$3&gt;100,"Mid","Small"))</v>
      </c>
      <c r="D3" s="13" t="str">
        <f>IF(Data_Sheet!$D$3&gt;200,"Big",IF(Data_Sheet!$D$3&gt;100,"Mid","Small"))</f>
        <v>Mid</v>
      </c>
      <c r="E3" s="6" t="s">
        <v>42</v>
      </c>
    </row>
    <row r="4" spans="2:5" ht="45.75" customHeight="1" x14ac:dyDescent="0.25">
      <c r="B4" s="2" t="s">
        <v>27</v>
      </c>
      <c r="C4" s="14" t="str">
        <f ca="1">_xlfn.FORMULATEXT(D4)</f>
        <v>=IF(Data_Sheet!$D$3&gt;100,"Highest Amt","Lowest Amt")</v>
      </c>
      <c r="D4" s="14" t="str">
        <f>IF(Data_Sheet!$D$3&gt;100,"Highest Amt","Lowest Amt")</f>
        <v>Highest Amt</v>
      </c>
      <c r="E4" s="4" t="s">
        <v>30</v>
      </c>
    </row>
    <row r="5" spans="2:5" ht="99.75" customHeight="1" x14ac:dyDescent="0.25">
      <c r="B5" s="2" t="s">
        <v>17</v>
      </c>
      <c r="C5" s="14" t="str">
        <f ca="1">_xlfn.FORMULATEXT(D5)</f>
        <v>=TEXTJOIN("|",TRUE,"A","B","C")</v>
      </c>
      <c r="D5" s="14" t="str">
        <f>_xlfn.TEXTJOIN("|",TRUE,"A","B","C")</f>
        <v>A|B|C</v>
      </c>
      <c r="E5" s="4" t="s">
        <v>40</v>
      </c>
    </row>
    <row r="6" spans="2:5" ht="99.75" customHeight="1" x14ac:dyDescent="0.25">
      <c r="B6" s="2" t="s">
        <v>15</v>
      </c>
      <c r="C6" s="14" t="str">
        <f ca="1">_xlfn.FORMULATEXT(D6)</f>
        <v>=SUMIFS(tblData[Amount],tblData[Status],"Active",tblData[Category],"A")</v>
      </c>
      <c r="D6" s="14">
        <f>SUMIFS(tblData[Amount],tblData[Status],"Active",tblData[Category],"A")</f>
        <v>610</v>
      </c>
      <c r="E6" s="4" t="s">
        <v>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4713-9D9C-446D-9286-0CB0D70A474B}">
  <sheetPr codeName="Sheet4"/>
  <dimension ref="B2:E4"/>
  <sheetViews>
    <sheetView showGridLines="0" workbookViewId="0"/>
  </sheetViews>
  <sheetFormatPr defaultRowHeight="15" x14ac:dyDescent="0.25"/>
  <cols>
    <col min="2" max="2" width="27.42578125" bestFit="1" customWidth="1"/>
    <col min="3" max="3" width="90.140625" customWidth="1"/>
    <col min="4" max="4" width="17.28515625" customWidth="1"/>
    <col min="5" max="5" width="84.85546875" customWidth="1"/>
  </cols>
  <sheetData>
    <row r="2" spans="2:5" ht="15.75" thickBot="1" x14ac:dyDescent="0.3">
      <c r="B2" s="3" t="s">
        <v>11</v>
      </c>
      <c r="C2" s="3" t="s">
        <v>26</v>
      </c>
      <c r="D2" s="3" t="s">
        <v>21</v>
      </c>
      <c r="E2" s="3" t="s">
        <v>38</v>
      </c>
    </row>
    <row r="3" spans="2:5" ht="186" customHeight="1" thickTop="1" x14ac:dyDescent="0.25">
      <c r="B3" s="5" t="s">
        <v>45</v>
      </c>
      <c r="C3" s="13" t="str">
        <f ca="1">_xlfn.FORMULATEXT(D3)</f>
        <v>=IF(Data_Sheet!$F$3,IF(Data_Sheet!$C$3="Active",IF(Data_Sheet!$G$3&gt;80,"A1",IF(Data_Sheet!$G$3&gt;60,"A2","A3")),"Inactive"),"Off")</v>
      </c>
      <c r="D3" s="13" t="str">
        <f>IF(Data_Sheet!$F$3,IF(Data_Sheet!$C$3="Active",IF(Data_Sheet!$G$3&gt;80,"A1",IF(Data_Sheet!$G$3&gt;60,"A2","A3")),"Inactive"),"Off")</f>
        <v>A1</v>
      </c>
      <c r="E3" s="6" t="s">
        <v>43</v>
      </c>
    </row>
    <row r="4" spans="2:5" ht="128.25" customHeight="1" x14ac:dyDescent="0.25">
      <c r="B4" s="2" t="s">
        <v>18</v>
      </c>
      <c r="C4" s="14" t="str">
        <f ca="1">_xlfn.FORMULATEXT(D4)</f>
        <v>=IF(AND(Data_Sheet!$C$3="Active",Data_Sheet!$G$3&gt;=80),"Star",IF(OR(Data_Sheet!$F$3=FALSE,Data_Sheet!$G$3&lt;50),"Watch","OK"))</v>
      </c>
      <c r="D4" s="14" t="str">
        <f>IF(AND(Data_Sheet!$C$3="Active",Data_Sheet!$G$3&gt;=80),"Star",IF(OR(Data_Sheet!$F$3=FALSE,Data_Sheet!$G$3&lt;50),"Watch","OK"))</f>
        <v>Star</v>
      </c>
      <c r="E4" s="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8875-DBFE-40C7-8593-4B726D132366}">
  <sheetPr codeName="Sheet5"/>
  <dimension ref="B2:E5"/>
  <sheetViews>
    <sheetView showGridLines="0" workbookViewId="0"/>
  </sheetViews>
  <sheetFormatPr defaultRowHeight="15" x14ac:dyDescent="0.25"/>
  <cols>
    <col min="2" max="2" width="27.42578125" bestFit="1" customWidth="1"/>
    <col min="3" max="3" width="90.140625" customWidth="1"/>
    <col min="4" max="4" width="17.28515625" customWidth="1"/>
    <col min="5" max="5" width="84.85546875" customWidth="1"/>
  </cols>
  <sheetData>
    <row r="2" spans="2:5" ht="15.75" thickBot="1" x14ac:dyDescent="0.3">
      <c r="B2" s="3" t="s">
        <v>11</v>
      </c>
      <c r="C2" s="3" t="s">
        <v>26</v>
      </c>
      <c r="D2" s="3" t="s">
        <v>21</v>
      </c>
      <c r="E2" s="3" t="s">
        <v>38</v>
      </c>
    </row>
    <row r="3" spans="2:5" ht="100.5" customHeight="1" thickTop="1" x14ac:dyDescent="0.25">
      <c r="B3" s="5" t="s">
        <v>12</v>
      </c>
      <c r="C3" s="13" t="str">
        <f ca="1">_xlfn.FORMULATEXT(D3)</f>
        <v>=SWITCH(Data_Sheet!$E$3,"A",1,"B",2,"C",3,0)</v>
      </c>
      <c r="D3" s="13" cm="1">
        <f t="array" ref="D3">_xlfn.SWITCH(Data_Sheet!$E$3,"A",1,"B",2,"C",3,0)</f>
        <v>1</v>
      </c>
      <c r="E3" s="6" t="s">
        <v>39</v>
      </c>
    </row>
    <row r="4" spans="2:5" ht="99.75" customHeight="1" x14ac:dyDescent="0.25">
      <c r="B4" s="2" t="s">
        <v>19</v>
      </c>
      <c r="C4" s="14" t="str">
        <f ca="1">_xlfn.FORMULATEXT(D4)</f>
        <v>=IFS(Data_Sheet!$G$3&gt;=90,"A",Data_Sheet!$G$3&gt;=80,"B",Data_Sheet!$G$3&gt;=70,"C",Data_Sheet!$G$3&gt;=60,"D",TRUE,"F")</v>
      </c>
      <c r="D4" s="14" t="str" cm="1">
        <f t="array" ref="D4">_xlfn.IFS(Data_Sheet!$G$3&gt;=90,"A",Data_Sheet!$G$3&gt;=80,"B",Data_Sheet!$G$3&gt;=70,"C",Data_Sheet!$G$3&gt;=60,"D",TRUE,"F")</f>
        <v>B</v>
      </c>
      <c r="E4" s="4" t="s">
        <v>29</v>
      </c>
    </row>
    <row r="5" spans="2:5" ht="71.25" customHeight="1" x14ac:dyDescent="0.25">
      <c r="B5" s="2" t="s">
        <v>13</v>
      </c>
      <c r="C5" s="14" t="str">
        <f ca="1">_xlfn.FORMULATEXT(D5)</f>
        <v>=LET(x,Data_Sheet!$D$3,y,Data_Sheet!$G$3,x+y)</v>
      </c>
      <c r="D5" s="14">
        <f>_xlfn.LET(_xlpm.x,Data_Sheet!$D$3,_xlpm.y,Data_Sheet!$G$3,_xlpm.x+_xlpm.y)</f>
        <v>235</v>
      </c>
      <c r="E5" s="4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698A-4ECA-4606-A97E-2FD9769FA6E6}">
  <sheetPr codeName="Sheet6"/>
  <dimension ref="B2:G3"/>
  <sheetViews>
    <sheetView showGridLines="0" workbookViewId="0"/>
  </sheetViews>
  <sheetFormatPr defaultRowHeight="15" x14ac:dyDescent="0.25"/>
  <cols>
    <col min="2" max="2" width="27.42578125" bestFit="1" customWidth="1"/>
    <col min="3" max="3" width="90.140625" customWidth="1"/>
    <col min="4" max="4" width="17.28515625" customWidth="1"/>
    <col min="5" max="5" width="84.85546875" customWidth="1"/>
  </cols>
  <sheetData>
    <row r="2" spans="2:7" ht="15.75" thickBot="1" x14ac:dyDescent="0.3">
      <c r="B2" s="3" t="s">
        <v>11</v>
      </c>
      <c r="C2" s="3" t="s">
        <v>26</v>
      </c>
      <c r="D2" s="3" t="s">
        <v>21</v>
      </c>
      <c r="E2" s="3" t="s">
        <v>38</v>
      </c>
    </row>
    <row r="3" spans="2:7" ht="228.75" customHeight="1" thickTop="1" x14ac:dyDescent="0.25">
      <c r="B3" s="5" t="s">
        <v>20</v>
      </c>
      <c r="C3" s="13" t="str">
        <f ca="1">_xlfn.FORMULATEXT(D3)</f>
        <v>=LET(amt,Data_Sheet!$D$3,cat,Data_Sheet!$E$3,tier,IFS(amt&gt;250,"T1",amt&gt;150,"T2",TRUE,"T3"),bonus,SWITCH(cat,"A",10,"B",5,0),tier&amp;"-"&amp;bonus)</v>
      </c>
      <c r="D3" s="13" t="str" cm="1">
        <f t="array" ref="D3">_xlfn.LET(_xlpm.amt,Data_Sheet!$D$3,_xlpm.cat,Data_Sheet!$E$3,_xlpm.tier,_xlfn.IFS(_xlpm.amt&gt;250,"T1",_xlpm.amt&gt;150,"T2",TRUE,"T3"),_xlpm.bonus,_xlfn.SWITCH(_xlpm.cat,"A",10,"B",5,0),_xlpm.tier&amp;"-"&amp;_xlpm.bonus)</f>
        <v>T3-10</v>
      </c>
      <c r="E3" s="6" t="s">
        <v>47</v>
      </c>
      <c r="G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166-7261-436C-884E-A4DCCE254C20}">
  <sheetPr codeName="Sheet7"/>
  <dimension ref="B2:E9"/>
  <sheetViews>
    <sheetView showGridLines="0" tabSelected="1" workbookViewId="0"/>
  </sheetViews>
  <sheetFormatPr defaultRowHeight="15" x14ac:dyDescent="0.25"/>
  <cols>
    <col min="2" max="2" width="27.42578125" bestFit="1" customWidth="1"/>
    <col min="3" max="3" width="90.140625" customWidth="1"/>
    <col min="4" max="4" width="17.28515625" customWidth="1"/>
    <col min="5" max="5" width="84.85546875" customWidth="1"/>
  </cols>
  <sheetData>
    <row r="2" spans="2:5" ht="15.75" thickBot="1" x14ac:dyDescent="0.3">
      <c r="B2" s="3" t="s">
        <v>11</v>
      </c>
      <c r="C2" s="3" t="s">
        <v>26</v>
      </c>
      <c r="D2" s="3" t="s">
        <v>21</v>
      </c>
      <c r="E2" s="3" t="s">
        <v>38</v>
      </c>
    </row>
    <row r="3" spans="2:5" ht="100.5" customHeight="1" thickTop="1" x14ac:dyDescent="0.25">
      <c r="B3" s="5" t="s">
        <v>17</v>
      </c>
      <c r="C3" s="13" t="str">
        <f ca="1">_xlfn.FORMULATEXT(D3)</f>
        <v>=TEXTJOIN(", ",TRUE,Data_Sheet!$B$3,Data_Sheet!$C$3,Data_Sheet!$E$3)</v>
      </c>
      <c r="D3" s="13" t="str">
        <f>_xlfn.TEXTJOIN(", ",TRUE,Data_Sheet!$B$3,Data_Sheet!$C$3,Data_Sheet!$E$3)</f>
        <v>1, Active, A</v>
      </c>
      <c r="E3" s="6" t="s">
        <v>36</v>
      </c>
    </row>
    <row r="4" spans="2:5" ht="85.5" customHeight="1" x14ac:dyDescent="0.25">
      <c r="B4" s="2" t="s">
        <v>16</v>
      </c>
      <c r="C4" s="14" t="str">
        <f ca="1">_xlfn.FORMULATEXT(D4)</f>
        <v>=CHOOSE(MATCH(Data_Sheet!$E$3,{"A","B","C"},0),"Alpha","Beta","Gamma")</v>
      </c>
      <c r="D4" s="14" t="str">
        <f>CHOOSE(MATCH(Data_Sheet!$E$3,{"A","B","C"},0),"Alpha","Beta","Gamma")</f>
        <v>Alpha</v>
      </c>
      <c r="E4" s="4" t="s">
        <v>35</v>
      </c>
    </row>
    <row r="5" spans="2:5" ht="45" customHeight="1" x14ac:dyDescent="0.25">
      <c r="B5" s="9" t="s">
        <v>22</v>
      </c>
      <c r="C5" s="14" t="str">
        <f ca="1">_xlfn.FORMULATEXT(D5)</f>
        <v>=1E+21*Data_Sheet!$A$1</v>
      </c>
      <c r="D5" s="15">
        <f>1E+21*Data_Sheet!$A$1</f>
        <v>0</v>
      </c>
      <c r="E5" s="4" t="s">
        <v>31</v>
      </c>
    </row>
    <row r="6" spans="2:5" ht="30" customHeight="1" x14ac:dyDescent="0.25">
      <c r="B6" s="9" t="s">
        <v>23</v>
      </c>
      <c r="C6" s="14" t="str">
        <f ca="1">_xlfn.FORMULATEXT(D6)</f>
        <v>=Data_Sheet!$A$1*50%+Data_Sheet!$D$3</v>
      </c>
      <c r="D6" s="15">
        <f>Data_Sheet!$A$1*50%+Data_Sheet!$D$3</f>
        <v>150</v>
      </c>
      <c r="E6" s="4" t="s">
        <v>34</v>
      </c>
    </row>
    <row r="7" spans="2:5" ht="45" customHeight="1" x14ac:dyDescent="0.25">
      <c r="B7" s="10" t="s">
        <v>24</v>
      </c>
      <c r="C7" s="16" t="str">
        <f ca="1">_xlfn.FORMULATEXT(D7)</f>
        <v>=IF(-1&gt;Data_Sheet!$A$1,TRUE,#N/A)</v>
      </c>
      <c r="D7" s="17" t="e">
        <f>IF(-1&gt;Data_Sheet!$A$1,TRUE,#N/A)</f>
        <v>#N/A</v>
      </c>
      <c r="E7" s="4" t="s">
        <v>33</v>
      </c>
    </row>
    <row r="8" spans="2:5" ht="71.25" customHeight="1" x14ac:dyDescent="0.25">
      <c r="B8" s="2" t="s">
        <v>14</v>
      </c>
      <c r="C8" s="14" t="str">
        <f ca="1">_xlfn.FORMULATEXT(D8)</f>
        <v>=SUMPRODUCT(--(tblData[Status]="Active"),--(tblData[Amount]&gt;100),tblData[Amount])</v>
      </c>
      <c r="D8" s="14" cm="1">
        <f t="array" ref="D8">SUMPRODUCT(--(tblData[Status]="Active"),--(tblData[Amount]&gt;100),tblData[Amount])</f>
        <v>910</v>
      </c>
      <c r="E8" s="4" t="s">
        <v>46</v>
      </c>
    </row>
    <row r="9" spans="2:5" ht="71.25" customHeight="1" x14ac:dyDescent="0.25">
      <c r="B9" s="11" t="s">
        <v>25</v>
      </c>
      <c r="C9" s="18" t="str">
        <f ca="1">_xlfn.FORMULATEXT(D9)</f>
        <v>=IF(COUNT(Data_Sheet!$H$16#)&gt;0,SUM(Data_Sheet!$H$16#)/COUNT(Data_Sheet!$H$16#),0)</v>
      </c>
      <c r="D9" s="18">
        <f>IF(COUNT(_xlfn.ANCHORARRAY(Data_Sheet!$H$16))&gt;0,SUM(_xlfn.ANCHORARRAY(Data_Sheet!$H$16))/COUNT(_xlfn.ANCHORARRAY(Data_Sheet!$H$16)),0)</f>
        <v>0</v>
      </c>
      <c r="E9" s="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Data_Sheet</vt:lpstr>
      <vt:lpstr>Pretty Print</vt:lpstr>
      <vt:lpstr>Single vs. Multiple Lines</vt:lpstr>
      <vt:lpstr>Nesting</vt:lpstr>
      <vt:lpstr>Parameter Matching</vt:lpstr>
      <vt:lpstr>Nested Parameter Matching</vt:lpstr>
      <vt:lpstr>Safe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Deetz</cp:lastModifiedBy>
  <dcterms:created xsi:type="dcterms:W3CDTF">2026-08-04T19:21:11Z</dcterms:created>
  <dcterms:modified xsi:type="dcterms:W3CDTF">2026-09-01T21:21:49Z</dcterms:modified>
</cp:coreProperties>
</file>